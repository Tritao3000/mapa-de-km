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v 26 Tiago" sheetId="1" r:id="rId5"/>
  </sheets>
  <definedNames/>
  <calcPr/>
</workbook>
</file>

<file path=xl/sharedStrings.xml><?xml version="1.0" encoding="utf-8"?>
<sst xmlns="http://schemas.openxmlformats.org/spreadsheetml/2006/main" count="50" uniqueCount="39">
  <si>
    <t xml:space="preserve"> NOME DO FUNCIONÁRIO:Tiago Pereira</t>
  </si>
  <si>
    <t>CATEGORIA :</t>
  </si>
  <si>
    <t xml:space="preserve"> </t>
  </si>
  <si>
    <t>Mês:Fevereiro</t>
  </si>
  <si>
    <t xml:space="preserve"> NIF:</t>
  </si>
  <si>
    <t>VIATURA:    51-VA-68</t>
  </si>
  <si>
    <t>DIA</t>
  </si>
  <si>
    <t>EMPRESAS</t>
  </si>
  <si>
    <t>Início</t>
  </si>
  <si>
    <t>Regresso</t>
  </si>
  <si>
    <t>%</t>
  </si>
  <si>
    <t>Kms</t>
  </si>
  <si>
    <t>LOCALIDADE/TRAJECTO</t>
  </si>
  <si>
    <t>Serviço efectuado c/ direito ajudas de custo</t>
  </si>
  <si>
    <t>Dia</t>
  </si>
  <si>
    <t>Hora</t>
  </si>
  <si>
    <t>Reunião com potenciais clientes</t>
  </si>
  <si>
    <t>Pq das Nações/Tábua/Pq. Das Nações</t>
  </si>
  <si>
    <t>Nº Dias/Kms</t>
  </si>
  <si>
    <t>Valor Diário/Km</t>
  </si>
  <si>
    <t>Sub-Total</t>
  </si>
  <si>
    <t>1.a)</t>
  </si>
  <si>
    <t xml:space="preserve">   Completas ( 100% )</t>
  </si>
  <si>
    <t xml:space="preserve"> Extenso : </t>
  </si>
  <si>
    <t>Nac.</t>
  </si>
  <si>
    <t xml:space="preserve">   Reduzidas (   75% )</t>
  </si>
  <si>
    <t xml:space="preserve">                  </t>
  </si>
  <si>
    <t xml:space="preserve">   Reduzidas (   50% )</t>
  </si>
  <si>
    <t xml:space="preserve">   Reduzidas (   25% )</t>
  </si>
  <si>
    <t>Assinatura:</t>
  </si>
  <si>
    <t>1.b)</t>
  </si>
  <si>
    <t>Est.</t>
  </si>
  <si>
    <t>2)</t>
  </si>
  <si>
    <t>km. Percorridos</t>
  </si>
  <si>
    <t>3)</t>
  </si>
  <si>
    <t>Subsídio de Alimentação</t>
  </si>
  <si>
    <t xml:space="preserve">                                                                       </t>
  </si>
  <si>
    <t>TOTAL RECEBIDO ( 1 + 2 - 3 ) ………………………………………………..</t>
  </si>
  <si>
    <t>Lisboa, 10 de Fevereiro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</si>
</sst>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"/>
    <numFmt numFmtId="165" formatCode="#,##0.00_ ;\-#,##0.00\ "/>
  </numFmts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/>
    <font>
      <sz val="9.0"/>
      <color theme="1"/>
      <name val="Arial"/>
    </font>
    <font>
      <b/>
      <i/>
      <sz val="8.0"/>
      <color theme="1"/>
      <name val="Arial"/>
    </font>
    <font>
      <i/>
      <sz val="9.0"/>
      <color theme="1"/>
      <name val="Arial"/>
    </font>
    <font>
      <i/>
      <sz val="10.0"/>
      <color theme="1"/>
      <name val="Arial"/>
    </font>
    <font>
      <u/>
      <sz val="10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1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/>
    </border>
    <border>
      <left/>
      <right style="hair">
        <color rgb="FF000000"/>
      </right>
      <top/>
      <bottom/>
    </border>
    <border>
      <left style="hair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/>
      <right style="hair">
        <color rgb="FF000000"/>
      </right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2" fontId="2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left" readingOrder="0" shrinkToFit="0" vertical="bottom" wrapText="0"/>
    </xf>
    <xf borderId="6" fillId="0" fontId="4" numFmtId="0" xfId="0" applyBorder="1" applyFont="1"/>
    <xf borderId="7" fillId="2" fontId="2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readingOrder="0" shrinkToFit="0" vertical="center" wrapText="0"/>
    </xf>
    <xf borderId="8" fillId="2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readingOrder="0" shrinkToFit="0" vertical="center" wrapText="0"/>
    </xf>
    <xf borderId="7" fillId="2" fontId="2" numFmtId="164" xfId="0" applyAlignment="1" applyBorder="1" applyFont="1" applyNumberForma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7" fillId="2" fontId="1" numFmtId="0" xfId="0" applyAlignment="1" applyBorder="1" applyFont="1">
      <alignment shrinkToFit="0" vertical="center" wrapText="0"/>
    </xf>
    <xf borderId="8" fillId="2" fontId="1" numFmtId="0" xfId="0" applyAlignment="1" applyBorder="1" applyFont="1">
      <alignment shrinkToFit="0" vertical="center" wrapText="0"/>
    </xf>
    <xf borderId="9" fillId="2" fontId="5" numFmtId="0" xfId="0" applyAlignment="1" applyBorder="1" applyFont="1">
      <alignment horizontal="center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12" fillId="0" fontId="4" numFmtId="0" xfId="0" applyBorder="1" applyFont="1"/>
    <xf borderId="13" fillId="0" fontId="4" numFmtId="0" xfId="0" applyBorder="1" applyFont="1"/>
    <xf borderId="10" fillId="2" fontId="5" numFmtId="0" xfId="0" applyAlignment="1" applyBorder="1" applyFont="1">
      <alignment shrinkToFit="0" vertical="center" wrapText="0"/>
    </xf>
    <xf borderId="7" fillId="2" fontId="1" numFmtId="0" xfId="0" applyAlignment="1" applyBorder="1" applyFont="1">
      <alignment horizontal="center" shrinkToFit="0" vertical="center" wrapText="0"/>
    </xf>
    <xf borderId="14" fillId="2" fontId="3" numFmtId="16" xfId="0" applyAlignment="1" applyBorder="1" applyFont="1" applyNumberFormat="1">
      <alignment horizontal="center" readingOrder="0" shrinkToFit="0" vertical="center" wrapText="0"/>
    </xf>
    <xf borderId="14" fillId="2" fontId="6" numFmtId="0" xfId="0" applyAlignment="1" applyBorder="1" applyFont="1">
      <alignment readingOrder="0" shrinkToFit="0" vertical="center" wrapText="0"/>
    </xf>
    <xf borderId="14" fillId="2" fontId="1" numFmtId="22" xfId="0" applyAlignment="1" applyBorder="1" applyFont="1" applyNumberFormat="1">
      <alignment horizontal="center" readingOrder="0" shrinkToFit="0" vertical="center" wrapText="0"/>
    </xf>
    <xf borderId="14" fillId="2" fontId="1" numFmtId="20" xfId="0" applyAlignment="1" applyBorder="1" applyFont="1" applyNumberFormat="1">
      <alignment horizontal="center" shrinkToFit="0" vertical="center" wrapText="0"/>
    </xf>
    <xf borderId="14" fillId="2" fontId="1" numFmtId="9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horizontal="center" readingOrder="0" shrinkToFit="0" vertical="bottom" wrapText="0"/>
    </xf>
    <xf borderId="15" fillId="2" fontId="1" numFmtId="0" xfId="0" applyAlignment="1" applyBorder="1" applyFont="1">
      <alignment readingOrder="0" shrinkToFit="0" vertical="center" wrapText="0"/>
    </xf>
    <xf borderId="14" fillId="2" fontId="7" numFmtId="0" xfId="0" applyAlignment="1" applyBorder="1" applyFont="1">
      <alignment horizontal="center" shrinkToFit="0" vertical="center" wrapText="0"/>
    </xf>
    <xf borderId="7" fillId="2" fontId="1" numFmtId="0" xfId="0" applyAlignment="1" applyBorder="1" applyFont="1">
      <alignment shrinkToFit="0" vertical="bottom" wrapText="0"/>
    </xf>
    <xf borderId="16" fillId="2" fontId="8" numFmtId="0" xfId="0" applyAlignment="1" applyBorder="1" applyFont="1">
      <alignment horizontal="right" shrinkToFit="0" vertical="center" wrapText="0"/>
    </xf>
    <xf borderId="16" fillId="2" fontId="8" numFmtId="0" xfId="0" applyAlignment="1" applyBorder="1" applyFont="1">
      <alignment shrinkToFit="0" vertical="center" wrapText="0"/>
    </xf>
    <xf borderId="16" fillId="2" fontId="1" numFmtId="1" xfId="0" applyAlignment="1" applyBorder="1" applyFont="1" applyNumberFormat="1">
      <alignment shrinkToFit="0" vertical="center" wrapText="0"/>
    </xf>
    <xf borderId="16" fillId="2" fontId="1" numFmtId="4" xfId="0" applyAlignment="1" applyBorder="1" applyFont="1" applyNumberFormat="1">
      <alignment shrinkToFit="0" vertical="center" wrapText="0"/>
    </xf>
    <xf borderId="16" fillId="2" fontId="8" numFmtId="4" xfId="0" applyAlignment="1" applyBorder="1" applyFont="1" applyNumberFormat="1">
      <alignment shrinkToFit="0" vertical="center" wrapText="0"/>
    </xf>
    <xf borderId="7" fillId="2" fontId="2" numFmtId="0" xfId="0" applyAlignment="1" applyBorder="1" applyFont="1">
      <alignment horizontal="left" shrinkToFit="0" vertical="bottom" wrapText="0"/>
    </xf>
    <xf borderId="7" fillId="2" fontId="7" numFmtId="0" xfId="0" applyAlignment="1" applyBorder="1" applyFont="1">
      <alignment horizontal="left" shrinkToFit="0" vertical="center" wrapText="0"/>
    </xf>
    <xf borderId="7" fillId="2" fontId="8" numFmtId="0" xfId="0" applyAlignment="1" applyBorder="1" applyFont="1">
      <alignment horizontal="left" shrinkToFit="0" vertical="center" wrapText="0"/>
    </xf>
    <xf borderId="7" fillId="2" fontId="1" numFmtId="0" xfId="0" applyAlignment="1" applyBorder="1" applyFont="1">
      <alignment horizontal="left" shrinkToFit="0" vertical="top" wrapText="0"/>
    </xf>
    <xf borderId="7" fillId="2" fontId="8" numFmtId="0" xfId="0" applyAlignment="1" applyBorder="1" applyFont="1">
      <alignment shrinkToFit="0" vertical="center" wrapText="0"/>
    </xf>
    <xf borderId="16" fillId="2" fontId="1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bottom" wrapText="0"/>
    </xf>
    <xf borderId="7" fillId="2" fontId="1" numFmtId="3" xfId="0" applyAlignment="1" applyBorder="1" applyFont="1" applyNumberForma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17" fillId="2" fontId="8" numFmtId="4" xfId="0" applyAlignment="1" applyBorder="1" applyFont="1" applyNumberFormat="1">
      <alignment shrinkToFit="0" vertical="center" wrapText="0"/>
    </xf>
    <xf borderId="7" fillId="2" fontId="1" numFmtId="0" xfId="0" applyAlignment="1" applyBorder="1" applyFont="1">
      <alignment horizontal="left" shrinkToFit="0" vertical="bottom" wrapText="0"/>
    </xf>
    <xf borderId="7" fillId="2" fontId="9" numFmtId="0" xfId="0" applyAlignment="1" applyBorder="1" applyFont="1">
      <alignment shrinkToFit="0" vertical="center" wrapText="0"/>
    </xf>
    <xf borderId="7" fillId="2" fontId="1" numFmtId="0" xfId="0" applyAlignment="1" applyBorder="1" applyFont="1">
      <alignment horizontal="right" shrinkToFit="0" vertical="center" wrapText="0"/>
    </xf>
    <xf borderId="7" fillId="2" fontId="1" numFmtId="4" xfId="0" applyAlignment="1" applyBorder="1" applyFont="1" applyNumberFormat="1">
      <alignment shrinkToFit="0" vertical="center" wrapText="0"/>
    </xf>
    <xf borderId="7" fillId="2" fontId="1" numFmtId="3" xfId="0" applyAlignment="1" applyBorder="1" applyFont="1" applyNumberFormat="1">
      <alignment shrinkToFit="0" vertical="center" wrapText="0"/>
    </xf>
    <xf borderId="7" fillId="2" fontId="1" numFmtId="0" xfId="0" applyAlignment="1" applyBorder="1" applyFont="1">
      <alignment horizontal="left" shrinkToFit="0" vertical="center" wrapText="0"/>
    </xf>
    <xf borderId="7" fillId="2" fontId="3" numFmtId="0" xfId="0" applyAlignment="1" applyBorder="1" applyFont="1">
      <alignment horizontal="left" shrinkToFit="0" vertical="center" wrapText="0"/>
    </xf>
    <xf borderId="7" fillId="2" fontId="10" numFmtId="4" xfId="0" applyAlignment="1" applyBorder="1" applyFont="1" applyNumberFormat="1">
      <alignment shrinkToFit="0" vertical="center" wrapText="0"/>
    </xf>
    <xf borderId="7" fillId="2" fontId="8" numFmtId="0" xfId="0" applyAlignment="1" applyBorder="1" applyFont="1">
      <alignment horizontal="right" readingOrder="0" shrinkToFit="0" vertical="center" wrapText="0"/>
    </xf>
    <xf borderId="18" fillId="2" fontId="1" numFmtId="0" xfId="0" applyAlignment="1" applyBorder="1" applyFont="1">
      <alignment shrinkToFit="0" vertical="center" wrapText="0"/>
    </xf>
    <xf borderId="19" fillId="2" fontId="1" numFmtId="0" xfId="0" applyAlignment="1" applyBorder="1" applyFont="1">
      <alignment shrinkToFit="0" vertical="center" wrapText="0"/>
    </xf>
    <xf borderId="20" fillId="2" fontId="1" numFmtId="0" xfId="0" applyAlignment="1" applyBorder="1" applyFont="1">
      <alignment shrinkToFit="0" vertical="center" wrapText="0"/>
    </xf>
    <xf borderId="0" fillId="0" fontId="1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152400</xdr:rowOff>
    </xdr:from>
    <xdr:ext cx="11934825" cy="428625"/>
    <xdr:sp>
      <xdr:nvSpPr>
        <xdr:cNvPr id="3" name="Shape 3"/>
        <xdr:cNvSpPr/>
      </xdr:nvSpPr>
      <xdr:spPr>
        <a:xfrm>
          <a:off x="0" y="3565688"/>
          <a:ext cx="10692000" cy="4286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11934825" cy="304800"/>
    <xdr:sp>
      <xdr:nvSpPr>
        <xdr:cNvPr id="4" name="Shape 4"/>
        <xdr:cNvSpPr/>
      </xdr:nvSpPr>
      <xdr:spPr>
        <a:xfrm>
          <a:off x="0" y="3627600"/>
          <a:ext cx="10692000" cy="3048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16</xdr:row>
      <xdr:rowOff>0</xdr:rowOff>
    </xdr:from>
    <xdr:ext cx="7353300" cy="647700"/>
    <xdr:sp>
      <xdr:nvSpPr>
        <xdr:cNvPr id="5" name="Shape 5"/>
        <xdr:cNvSpPr/>
      </xdr:nvSpPr>
      <xdr:spPr>
        <a:xfrm>
          <a:off x="1669350" y="3456150"/>
          <a:ext cx="7353300" cy="6477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25</xdr:row>
      <xdr:rowOff>0</xdr:rowOff>
    </xdr:from>
    <xdr:ext cx="7353300" cy="171450"/>
    <xdr:sp>
      <xdr:nvSpPr>
        <xdr:cNvPr id="6" name="Shape 6"/>
        <xdr:cNvSpPr/>
      </xdr:nvSpPr>
      <xdr:spPr>
        <a:xfrm>
          <a:off x="1669350" y="3694275"/>
          <a:ext cx="7353300" cy="1714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14</xdr:row>
      <xdr:rowOff>0</xdr:rowOff>
    </xdr:from>
    <xdr:ext cx="2895600" cy="161925"/>
    <xdr:sp>
      <xdr:nvSpPr>
        <xdr:cNvPr id="7" name="Shape 7"/>
        <xdr:cNvSpPr/>
      </xdr:nvSpPr>
      <xdr:spPr>
        <a:xfrm>
          <a:off x="3898200" y="3699038"/>
          <a:ext cx="2895600" cy="1619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20</xdr:row>
      <xdr:rowOff>0</xdr:rowOff>
    </xdr:from>
    <xdr:ext cx="7353300" cy="628650"/>
    <xdr:sp>
      <xdr:nvSpPr>
        <xdr:cNvPr id="8" name="Shape 8"/>
        <xdr:cNvSpPr/>
      </xdr:nvSpPr>
      <xdr:spPr>
        <a:xfrm>
          <a:off x="1669350" y="3465675"/>
          <a:ext cx="7353300" cy="6286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676275</xdr:colOff>
      <xdr:row>6</xdr:row>
      <xdr:rowOff>142875</xdr:rowOff>
    </xdr:from>
    <xdr:ext cx="11934825" cy="342900"/>
    <xdr:sp>
      <xdr:nvSpPr>
        <xdr:cNvPr id="9" name="Shape 9"/>
        <xdr:cNvSpPr/>
      </xdr:nvSpPr>
      <xdr:spPr>
        <a:xfrm>
          <a:off x="0" y="3613313"/>
          <a:ext cx="10692000" cy="33337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11934825" cy="304800"/>
    <xdr:sp>
      <xdr:nvSpPr>
        <xdr:cNvPr id="4" name="Shape 4"/>
        <xdr:cNvSpPr/>
      </xdr:nvSpPr>
      <xdr:spPr>
        <a:xfrm>
          <a:off x="0" y="3627600"/>
          <a:ext cx="10692000" cy="3048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12</xdr:row>
      <xdr:rowOff>0</xdr:rowOff>
    </xdr:from>
    <xdr:ext cx="7353300" cy="647700"/>
    <xdr:sp>
      <xdr:nvSpPr>
        <xdr:cNvPr id="5" name="Shape 5"/>
        <xdr:cNvSpPr/>
      </xdr:nvSpPr>
      <xdr:spPr>
        <a:xfrm>
          <a:off x="1669350" y="3456150"/>
          <a:ext cx="7353300" cy="6477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21</xdr:row>
      <xdr:rowOff>0</xdr:rowOff>
    </xdr:from>
    <xdr:ext cx="7353300" cy="161925"/>
    <xdr:sp>
      <xdr:nvSpPr>
        <xdr:cNvPr id="10" name="Shape 10"/>
        <xdr:cNvSpPr/>
      </xdr:nvSpPr>
      <xdr:spPr>
        <a:xfrm>
          <a:off x="1669350" y="3699038"/>
          <a:ext cx="7353300" cy="1619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23</xdr:row>
      <xdr:rowOff>0</xdr:rowOff>
    </xdr:from>
    <xdr:ext cx="7353300" cy="161925"/>
    <xdr:sp>
      <xdr:nvSpPr>
        <xdr:cNvPr id="10" name="Shape 10"/>
        <xdr:cNvSpPr/>
      </xdr:nvSpPr>
      <xdr:spPr>
        <a:xfrm>
          <a:off x="1669350" y="3699038"/>
          <a:ext cx="7353300" cy="161925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10</xdr:row>
      <xdr:rowOff>0</xdr:rowOff>
    </xdr:from>
    <xdr:ext cx="2895600" cy="152400"/>
    <xdr:sp>
      <xdr:nvSpPr>
        <xdr:cNvPr id="11" name="Shape 11"/>
        <xdr:cNvSpPr/>
      </xdr:nvSpPr>
      <xdr:spPr>
        <a:xfrm>
          <a:off x="3898200" y="3703800"/>
          <a:ext cx="2895600" cy="1524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25</xdr:row>
      <xdr:rowOff>0</xdr:rowOff>
    </xdr:from>
    <xdr:ext cx="7353300" cy="171450"/>
    <xdr:sp>
      <xdr:nvSpPr>
        <xdr:cNvPr id="6" name="Shape 6"/>
        <xdr:cNvSpPr/>
      </xdr:nvSpPr>
      <xdr:spPr>
        <a:xfrm>
          <a:off x="1669350" y="3694275"/>
          <a:ext cx="7353300" cy="1714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16</xdr:row>
      <xdr:rowOff>0</xdr:rowOff>
    </xdr:from>
    <xdr:ext cx="7362825" cy="647700"/>
    <xdr:sp>
      <xdr:nvSpPr>
        <xdr:cNvPr id="5" name="Shape 5"/>
        <xdr:cNvSpPr/>
      </xdr:nvSpPr>
      <xdr:spPr>
        <a:xfrm>
          <a:off x="1669350" y="3456150"/>
          <a:ext cx="7353300" cy="64770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25"/>
    <col customWidth="1" min="3" max="3" width="51.25"/>
    <col customWidth="1" min="4" max="4" width="12.0"/>
    <col customWidth="1" min="5" max="5" width="16.0"/>
    <col customWidth="1" min="6" max="6" width="10.0"/>
    <col customWidth="1" min="7" max="7" width="9.75"/>
    <col customWidth="1" min="8" max="8" width="8.88"/>
    <col customWidth="1" min="9" max="9" width="9.25"/>
    <col customWidth="1" min="10" max="10" width="32.25"/>
    <col customWidth="1" min="11" max="11" width="8.88"/>
    <col customWidth="1" min="12" max="26" width="8.0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/>
      <c r="B2" s="5" t="s">
        <v>0</v>
      </c>
      <c r="C2" s="6"/>
      <c r="D2" s="7"/>
      <c r="E2" s="8" t="s">
        <v>1</v>
      </c>
      <c r="F2" s="7"/>
      <c r="G2" s="7"/>
      <c r="H2" s="7"/>
      <c r="I2" s="7" t="s">
        <v>2</v>
      </c>
      <c r="J2" s="9" t="s">
        <v>3</v>
      </c>
      <c r="K2" s="10"/>
    </row>
    <row r="3" ht="15.75" customHeight="1">
      <c r="A3" s="4"/>
      <c r="B3" s="8" t="s">
        <v>4</v>
      </c>
      <c r="C3" s="11">
        <v>2.66920233E8</v>
      </c>
      <c r="D3" s="7"/>
      <c r="E3" s="8" t="s">
        <v>5</v>
      </c>
      <c r="F3" s="7"/>
      <c r="G3" s="7"/>
      <c r="H3" s="7"/>
      <c r="I3" s="7"/>
      <c r="J3" s="12" t="s">
        <v>2</v>
      </c>
      <c r="K3" s="10"/>
    </row>
    <row r="4" ht="12.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</row>
    <row r="5" ht="12.0" customHeight="1">
      <c r="A5" s="13"/>
      <c r="B5" s="16" t="s">
        <v>6</v>
      </c>
      <c r="C5" s="17" t="s">
        <v>7</v>
      </c>
      <c r="D5" s="18" t="s">
        <v>8</v>
      </c>
      <c r="E5" s="19"/>
      <c r="F5" s="18" t="s">
        <v>9</v>
      </c>
      <c r="G5" s="19"/>
      <c r="H5" s="17" t="s">
        <v>10</v>
      </c>
      <c r="I5" s="17" t="s">
        <v>11</v>
      </c>
      <c r="J5" s="17" t="s">
        <v>12</v>
      </c>
      <c r="K5" s="15"/>
    </row>
    <row r="6" ht="12.0" customHeight="1">
      <c r="A6" s="13"/>
      <c r="B6" s="20"/>
      <c r="C6" s="17" t="s">
        <v>13</v>
      </c>
      <c r="D6" s="17" t="s">
        <v>14</v>
      </c>
      <c r="E6" s="17" t="s">
        <v>15</v>
      </c>
      <c r="F6" s="17" t="s">
        <v>14</v>
      </c>
      <c r="G6" s="17" t="s">
        <v>15</v>
      </c>
      <c r="H6" s="21"/>
      <c r="I6" s="21"/>
      <c r="J6" s="21"/>
      <c r="K6" s="15"/>
    </row>
    <row r="7" ht="12.0" customHeight="1">
      <c r="A7" s="13"/>
      <c r="B7" s="22"/>
      <c r="C7" s="14"/>
      <c r="D7" s="22"/>
      <c r="E7" s="22"/>
      <c r="F7" s="22"/>
      <c r="G7" s="22"/>
      <c r="H7" s="14"/>
      <c r="I7" s="14"/>
      <c r="J7" s="14"/>
      <c r="K7" s="15"/>
    </row>
    <row r="8" ht="12.75" customHeight="1">
      <c r="A8" s="13"/>
      <c r="B8" s="23">
        <v>46055.0</v>
      </c>
      <c r="C8" s="24" t="s">
        <v>16</v>
      </c>
      <c r="D8" s="23">
        <v>46055.0</v>
      </c>
      <c r="E8" s="25">
        <v>46055.375</v>
      </c>
      <c r="F8" s="23">
        <v>46055.0</v>
      </c>
      <c r="G8" s="26">
        <v>0.75</v>
      </c>
      <c r="H8" s="27"/>
      <c r="I8" s="28">
        <v>465.0</v>
      </c>
      <c r="J8" s="29" t="s">
        <v>17</v>
      </c>
      <c r="K8" s="15"/>
    </row>
    <row r="9" ht="12.75" customHeight="1">
      <c r="A9" s="13"/>
      <c r="B9" s="23">
        <v>46063.0</v>
      </c>
      <c r="C9" s="24" t="s">
        <v>16</v>
      </c>
      <c r="D9" s="23">
        <v>46063.0</v>
      </c>
      <c r="E9" s="25">
        <v>46063.375</v>
      </c>
      <c r="F9" s="23">
        <v>46063.0</v>
      </c>
      <c r="G9" s="26">
        <v>0.75</v>
      </c>
      <c r="H9" s="27"/>
      <c r="I9" s="28">
        <v>465.0</v>
      </c>
      <c r="J9" s="29" t="s">
        <v>17</v>
      </c>
      <c r="K9" s="15"/>
    </row>
    <row r="10" ht="12.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</row>
    <row r="11" ht="12.0" customHeight="1">
      <c r="A11" s="13"/>
      <c r="B11" s="14"/>
      <c r="C11" s="14"/>
      <c r="D11" s="30" t="s">
        <v>18</v>
      </c>
      <c r="E11" s="30" t="s">
        <v>19</v>
      </c>
      <c r="F11" s="30" t="s">
        <v>20</v>
      </c>
      <c r="G11" s="14"/>
      <c r="H11" s="14"/>
      <c r="I11" s="14"/>
      <c r="J11" s="14"/>
      <c r="K11" s="15"/>
    </row>
    <row r="12" ht="12.0" customHeight="1">
      <c r="A12" s="13"/>
      <c r="B12" s="14"/>
      <c r="C12" s="31"/>
      <c r="D12" s="31"/>
      <c r="E12" s="31"/>
      <c r="F12" s="31"/>
      <c r="G12" s="31"/>
      <c r="H12" s="14"/>
      <c r="I12" s="14"/>
      <c r="J12" s="14"/>
      <c r="K12" s="15"/>
    </row>
    <row r="13" ht="12.75" customHeight="1">
      <c r="A13" s="13"/>
      <c r="B13" s="32" t="s">
        <v>21</v>
      </c>
      <c r="C13" s="33" t="s">
        <v>22</v>
      </c>
      <c r="D13" s="34">
        <f>COUNTIF(H8:H9,1)-D17</f>
        <v>0</v>
      </c>
      <c r="E13" s="35">
        <v>0.0</v>
      </c>
      <c r="F13" s="36">
        <f>ROUND(+E13*D13,2)</f>
        <v>0</v>
      </c>
      <c r="G13" s="37" t="s">
        <v>23</v>
      </c>
      <c r="H13" s="38"/>
      <c r="I13" s="39"/>
      <c r="J13" s="39"/>
      <c r="K13" s="15" t="s">
        <v>2</v>
      </c>
    </row>
    <row r="14" ht="12.75" customHeight="1">
      <c r="A14" s="13"/>
      <c r="B14" s="32" t="s">
        <v>24</v>
      </c>
      <c r="C14" s="33" t="s">
        <v>25</v>
      </c>
      <c r="D14" s="34">
        <f>COUNTIF(H8:H9,0.75)-D18</f>
        <v>0</v>
      </c>
      <c r="E14" s="35">
        <f>+E13*0.75</f>
        <v>0</v>
      </c>
      <c r="F14" s="35">
        <f t="shared" ref="F14:F16" si="1">+E14*D14</f>
        <v>0</v>
      </c>
      <c r="G14" s="40" t="s">
        <v>26</v>
      </c>
      <c r="H14" s="41"/>
      <c r="I14" s="41"/>
      <c r="J14" s="41"/>
      <c r="K14" s="15"/>
    </row>
    <row r="15" ht="12.75" customHeight="1">
      <c r="A15" s="13"/>
      <c r="B15" s="33"/>
      <c r="C15" s="33" t="s">
        <v>27</v>
      </c>
      <c r="D15" s="34">
        <f>COUNTIF(H8:H9,0.5)-D19</f>
        <v>0</v>
      </c>
      <c r="E15" s="35">
        <f>+E13*0.5</f>
        <v>0</v>
      </c>
      <c r="F15" s="36">
        <f t="shared" si="1"/>
        <v>0</v>
      </c>
      <c r="G15" s="40"/>
      <c r="H15" s="14"/>
      <c r="I15" s="14"/>
      <c r="J15" s="14"/>
      <c r="K15" s="15" t="s">
        <v>2</v>
      </c>
    </row>
    <row r="16" ht="12.75" customHeight="1">
      <c r="A16" s="13"/>
      <c r="B16" s="33"/>
      <c r="C16" s="33" t="s">
        <v>28</v>
      </c>
      <c r="D16" s="34">
        <f>COUNTIF(H8:H9,0.25)-D20</f>
        <v>0</v>
      </c>
      <c r="E16" s="35">
        <f>+E13*0.25</f>
        <v>0</v>
      </c>
      <c r="F16" s="36">
        <f t="shared" si="1"/>
        <v>0</v>
      </c>
      <c r="G16" s="7" t="s">
        <v>29</v>
      </c>
      <c r="H16" s="14"/>
      <c r="I16" s="14"/>
      <c r="J16" s="14"/>
      <c r="K16" s="15"/>
    </row>
    <row r="17" ht="12.75" customHeight="1">
      <c r="A17" s="13"/>
      <c r="B17" s="32" t="s">
        <v>30</v>
      </c>
      <c r="C17" s="33" t="s">
        <v>22</v>
      </c>
      <c r="D17" s="42">
        <v>0.0</v>
      </c>
      <c r="E17" s="35">
        <v>0.0</v>
      </c>
      <c r="F17" s="36">
        <f>ROUND(+E17*D17,2)</f>
        <v>0</v>
      </c>
      <c r="G17" s="7"/>
      <c r="H17" s="14"/>
      <c r="I17" s="14"/>
      <c r="J17" s="14"/>
      <c r="K17" s="15"/>
    </row>
    <row r="18" ht="12.75" customHeight="1">
      <c r="A18" s="13"/>
      <c r="B18" s="32" t="s">
        <v>31</v>
      </c>
      <c r="C18" s="33" t="s">
        <v>25</v>
      </c>
      <c r="D18" s="42">
        <f>COUNTIF(H9:H12,0.75)</f>
        <v>0</v>
      </c>
      <c r="E18" s="35">
        <f>+E17*0.75</f>
        <v>0</v>
      </c>
      <c r="F18" s="35">
        <f t="shared" ref="F18:F20" si="2">+E18*D18</f>
        <v>0</v>
      </c>
      <c r="G18" s="7"/>
      <c r="H18" s="14"/>
      <c r="I18" s="14"/>
      <c r="J18" s="14"/>
      <c r="K18" s="15"/>
    </row>
    <row r="19" ht="12.75" customHeight="1">
      <c r="A19" s="13"/>
      <c r="B19" s="33"/>
      <c r="C19" s="33" t="s">
        <v>27</v>
      </c>
      <c r="D19" s="42">
        <f>COUNTIF(H9:H12,0.5)</f>
        <v>0</v>
      </c>
      <c r="E19" s="35">
        <f>+E17*0.5</f>
        <v>0</v>
      </c>
      <c r="F19" s="36">
        <f t="shared" si="2"/>
        <v>0</v>
      </c>
      <c r="G19" s="7"/>
      <c r="H19" s="14"/>
      <c r="I19" s="14"/>
      <c r="J19" s="14"/>
      <c r="K19" s="15"/>
    </row>
    <row r="20" ht="12.75" customHeight="1">
      <c r="A20" s="13"/>
      <c r="B20" s="33"/>
      <c r="C20" s="33" t="s">
        <v>28</v>
      </c>
      <c r="D20" s="42">
        <v>0.0</v>
      </c>
      <c r="E20" s="35">
        <f>+E17*0.25</f>
        <v>0</v>
      </c>
      <c r="F20" s="36">
        <f t="shared" si="2"/>
        <v>0</v>
      </c>
      <c r="G20" s="7"/>
      <c r="H20" s="14"/>
      <c r="I20" s="14"/>
      <c r="J20" s="14"/>
      <c r="K20" s="15"/>
    </row>
    <row r="21" ht="12.0" customHeight="1">
      <c r="A21" s="43"/>
      <c r="B21" s="31"/>
      <c r="C21" s="31"/>
      <c r="D21" s="31"/>
      <c r="E21" s="31"/>
      <c r="F21" s="44"/>
      <c r="G21" s="31"/>
      <c r="H21" s="31"/>
      <c r="I21" s="31"/>
      <c r="J21" s="31"/>
      <c r="K21" s="45"/>
    </row>
    <row r="22" ht="12.75" customHeight="1">
      <c r="A22" s="13"/>
      <c r="B22" s="32" t="s">
        <v>32</v>
      </c>
      <c r="C22" s="33" t="s">
        <v>33</v>
      </c>
      <c r="D22" s="42">
        <f>SUM(I8:I9)</f>
        <v>930</v>
      </c>
      <c r="E22" s="35">
        <v>0.4</v>
      </c>
      <c r="F22" s="36">
        <f>D22*E22</f>
        <v>372</v>
      </c>
      <c r="G22" s="14"/>
      <c r="H22" s="14"/>
      <c r="I22" s="14"/>
      <c r="J22" s="14"/>
      <c r="K22" s="15"/>
    </row>
    <row r="23" ht="12.0" customHeight="1">
      <c r="A23" s="13"/>
      <c r="B23" s="31"/>
      <c r="C23" s="31"/>
      <c r="D23" s="31"/>
      <c r="E23" s="31"/>
      <c r="F23" s="44"/>
      <c r="G23" s="31"/>
      <c r="H23" s="31"/>
      <c r="I23" s="31"/>
      <c r="J23" s="14"/>
      <c r="K23" s="15"/>
    </row>
    <row r="24" ht="12.75" customHeight="1">
      <c r="A24" s="13"/>
      <c r="B24" s="32" t="s">
        <v>34</v>
      </c>
      <c r="C24" s="33" t="s">
        <v>35</v>
      </c>
      <c r="D24" s="34">
        <f>+D16+D15+D14+D13+D17+D18+D19+D20</f>
        <v>0</v>
      </c>
      <c r="E24" s="35"/>
      <c r="F24" s="46">
        <f>+D24*E24</f>
        <v>0</v>
      </c>
      <c r="G24" s="47"/>
      <c r="H24" s="48" t="s">
        <v>36</v>
      </c>
      <c r="I24" s="48"/>
      <c r="J24" s="48"/>
      <c r="K24" s="15"/>
    </row>
    <row r="25" ht="12.0" customHeight="1">
      <c r="A25" s="13"/>
      <c r="B25" s="49"/>
      <c r="C25" s="14"/>
      <c r="D25" s="14"/>
      <c r="E25" s="50"/>
      <c r="F25" s="51"/>
      <c r="G25" s="52"/>
      <c r="H25" s="14"/>
      <c r="I25" s="14"/>
      <c r="J25" s="14"/>
      <c r="K25" s="15"/>
    </row>
    <row r="26" ht="13.5" customHeight="1">
      <c r="A26" s="13"/>
      <c r="B26" s="14"/>
      <c r="C26" s="53" t="s">
        <v>37</v>
      </c>
      <c r="D26" s="7"/>
      <c r="E26" s="7"/>
      <c r="F26" s="54">
        <f>+F13+F16+F22-F24+F17+F20</f>
        <v>372</v>
      </c>
      <c r="G26" s="40"/>
      <c r="H26" s="50"/>
      <c r="I26" s="14"/>
      <c r="J26" s="55" t="s">
        <v>38</v>
      </c>
      <c r="K26" s="15"/>
    </row>
    <row r="27" ht="12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8"/>
    </row>
    <row r="28" ht="12.0" customHeight="1"/>
    <row r="29" ht="12.0" customHeight="1"/>
    <row r="30" ht="12.0" customHeight="1"/>
    <row r="31" ht="12.0" customHeight="1"/>
    <row r="32" ht="12.0" customHeight="1"/>
    <row r="33" ht="12.0" customHeight="1">
      <c r="D33" s="59"/>
    </row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B2:C2"/>
    <mergeCell ref="B5:B6"/>
    <mergeCell ref="D5:E5"/>
    <mergeCell ref="F5:G5"/>
  </mergeCells>
  <printOptions/>
  <pageMargins bottom="0.75" footer="0.0" header="0.0" left="0.7" right="0.7" top="0.75"/>
  <pageSetup orientation="landscape"/>
  <drawing r:id="rId1"/>
</worksheet>
</file>